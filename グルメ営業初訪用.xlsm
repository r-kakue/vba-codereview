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G:\マイドライブ\80_マクロ関連\"/>
    </mc:Choice>
  </mc:AlternateContent>
  <xr:revisionPtr revIDLastSave="0" documentId="13_ncr:1_{62329AC4-AACC-47EC-944D-57AA3875D0A3}" xr6:coauthVersionLast="47" xr6:coauthVersionMax="47" xr10:uidLastSave="{00000000-0000-0000-0000-000000000000}"/>
  <bookViews>
    <workbookView xWindow="-108" yWindow="-108" windowWidth="23256" windowHeight="12456" xr2:uid="{7BE60D1B-1E6B-4018-BA9B-29CFFD7ED604}"/>
  </bookViews>
  <sheets>
    <sheet name="マスタ" sheetId="2" r:id="rId1"/>
    <sheet name="使い方" sheetId="4" r:id="rId2"/>
    <sheet name="プラン変換用"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7" i="2" l="1"/>
  <c r="F17" i="2"/>
  <c r="G17" i="2"/>
  <c r="H17" i="2"/>
  <c r="I17" i="2"/>
  <c r="J17" i="2"/>
  <c r="K17" i="2"/>
  <c r="L17" i="2"/>
  <c r="M17" i="2"/>
  <c r="N17" i="2"/>
  <c r="O17" i="2"/>
  <c r="P17" i="2"/>
  <c r="Q17" i="2"/>
  <c r="R17" i="2"/>
  <c r="D17" i="2"/>
  <c r="E20" i="2"/>
  <c r="F20" i="2"/>
  <c r="G20" i="2"/>
  <c r="H20" i="2"/>
  <c r="I20" i="2"/>
  <c r="J20" i="2"/>
  <c r="K20" i="2"/>
  <c r="L20" i="2"/>
  <c r="M20" i="2"/>
  <c r="N20" i="2"/>
  <c r="O20" i="2"/>
  <c r="P20" i="2"/>
  <c r="Q20" i="2"/>
  <c r="R20" i="2"/>
  <c r="D20" i="2"/>
  <c r="A3" i="2" l="1"/>
</calcChain>
</file>

<file path=xl/sharedStrings.xml><?xml version="1.0" encoding="utf-8"?>
<sst xmlns="http://schemas.openxmlformats.org/spreadsheetml/2006/main" count="102" uniqueCount="98">
  <si>
    <t>店舗情報</t>
  </si>
  <si>
    <t>①グルメサイト</t>
  </si>
  <si>
    <t>②GBP</t>
  </si>
  <si>
    <t>③SNS</t>
  </si>
  <si>
    <t>エリア</t>
  </si>
  <si>
    <t>席数</t>
  </si>
  <si>
    <t>単価</t>
  </si>
  <si>
    <t>個室</t>
  </si>
  <si>
    <t>貸切</t>
  </si>
  <si>
    <t>路面or空中階</t>
  </si>
  <si>
    <t>HPプラン</t>
  </si>
  <si>
    <t>HP業サポ</t>
  </si>
  <si>
    <t>TLプラン</t>
  </si>
  <si>
    <t>TLP</t>
  </si>
  <si>
    <t>GNプラン</t>
  </si>
  <si>
    <t>点数</t>
  </si>
  <si>
    <t>口コミ数</t>
  </si>
  <si>
    <t>新着</t>
  </si>
  <si>
    <t>口コミ返信</t>
  </si>
  <si>
    <t>メニュー</t>
  </si>
  <si>
    <t>フォロワー数</t>
  </si>
  <si>
    <t>フォロー数</t>
  </si>
  <si>
    <t>インフルエンサー</t>
  </si>
  <si>
    <t>取得店舗数</t>
    <rPh sb="0" eb="2">
      <t>シュトク</t>
    </rPh>
    <rPh sb="2" eb="5">
      <t>テンポスウ</t>
    </rPh>
    <phoneticPr fontId="1"/>
  </si>
  <si>
    <t>ジャンル
(グルメサイト参照)</t>
    <phoneticPr fontId="1"/>
  </si>
  <si>
    <t>ビジネス名</t>
    <rPh sb="4" eb="5">
      <t>メイ</t>
    </rPh>
    <phoneticPr fontId="1"/>
  </si>
  <si>
    <r>
      <rPr>
        <b/>
        <sz val="10"/>
        <color theme="1"/>
        <rFont val="ＭＳ ゴシック"/>
        <family val="3"/>
        <charset val="128"/>
      </rPr>
      <t>店名</t>
    </r>
    <r>
      <rPr>
        <b/>
        <sz val="10"/>
        <color theme="1"/>
        <rFont val="Arial"/>
        <family val="2"/>
      </rPr>
      <t>(</t>
    </r>
    <r>
      <rPr>
        <b/>
        <sz val="10"/>
        <color theme="1"/>
        <rFont val="ＭＳ Ｐゴシック"/>
        <family val="2"/>
        <charset val="128"/>
      </rPr>
      <t>入力</t>
    </r>
    <r>
      <rPr>
        <b/>
        <sz val="10"/>
        <color theme="1"/>
        <rFont val="Arial"/>
        <family val="2"/>
      </rPr>
      <t>)</t>
    </r>
    <rPh sb="3" eb="5">
      <t>ニュウリョク</t>
    </rPh>
    <phoneticPr fontId="1"/>
  </si>
  <si>
    <t>媒体URL(TL入力)</t>
    <rPh sb="0" eb="2">
      <t>バイタイ</t>
    </rPh>
    <rPh sb="8" eb="10">
      <t>ニュウリョク</t>
    </rPh>
    <phoneticPr fontId="1"/>
  </si>
  <si>
    <t>Instagram_ID
（空行を挟まない）</t>
    <rPh sb="14" eb="16">
      <t>カラギョウ</t>
    </rPh>
    <rPh sb="17" eb="18">
      <t>ハサ</t>
    </rPh>
    <phoneticPr fontId="1"/>
  </si>
  <si>
    <t>無料（not公式情報）</t>
  </si>
  <si>
    <t>無料（公式情報）</t>
  </si>
  <si>
    <t>ライトプラン</t>
  </si>
  <si>
    <t>スタンダードプラン</t>
  </si>
  <si>
    <t>スペシャルプラン</t>
  </si>
  <si>
    <t>ベーシックプラン</t>
  </si>
  <si>
    <t>ベーシックプラスプラン</t>
  </si>
  <si>
    <t>ラーメンプラン</t>
  </si>
  <si>
    <t>プレミアム5プラン</t>
  </si>
  <si>
    <t>プレミアム10プラン</t>
  </si>
  <si>
    <t>ベーシックプランS</t>
  </si>
  <si>
    <t>プレミアム5プランS</t>
  </si>
  <si>
    <t>プレミアム10プランS</t>
  </si>
  <si>
    <t>ライトプランS</t>
  </si>
  <si>
    <t>【新店UP】プレミアム5プランS？？？</t>
  </si>
  <si>
    <t>【新店UP】ベーシックプランS</t>
  </si>
  <si>
    <t>無料（ネット予約のみ）</t>
  </si>
  <si>
    <t>TL</t>
    <phoneticPr fontId="1"/>
  </si>
  <si>
    <t>食べログPRプレミアム10</t>
  </si>
  <si>
    <t>食べログPRプレミアム5</t>
  </si>
  <si>
    <t>食べログPRベーシック＋ネット予約</t>
  </si>
  <si>
    <t>食べログPRライト＋ネット予約</t>
  </si>
  <si>
    <t>媒体URL(HP入力)</t>
    <rPh sb="0" eb="2">
      <t>バイタイ</t>
    </rPh>
    <rPh sb="8" eb="10">
      <t>ニュウリョク</t>
    </rPh>
    <phoneticPr fontId="1"/>
  </si>
  <si>
    <t>XP</t>
  </si>
  <si>
    <t>BS</t>
  </si>
  <si>
    <t>ベーシック（無料）</t>
  </si>
  <si>
    <t>LTP</t>
  </si>
  <si>
    <t>BPP</t>
  </si>
  <si>
    <t>ベースポイント</t>
  </si>
  <si>
    <t>B</t>
  </si>
  <si>
    <t>Bプラン</t>
  </si>
  <si>
    <t>A</t>
  </si>
  <si>
    <t>Aプラン</t>
  </si>
  <si>
    <t>X</t>
  </si>
  <si>
    <t>SS</t>
  </si>
  <si>
    <t>SSP</t>
  </si>
  <si>
    <t>HP</t>
    <phoneticPr fontId="1"/>
  </si>
  <si>
    <t>手入力</t>
    <rPh sb="0" eb="3">
      <t>テニュウリョク</t>
    </rPh>
    <phoneticPr fontId="1"/>
  </si>
  <si>
    <t>関数</t>
    <rPh sb="0" eb="2">
      <t>カンスウ</t>
    </rPh>
    <phoneticPr fontId="1"/>
  </si>
  <si>
    <t>https://www.hotpepper.jp/strJ001154928/</t>
    <phoneticPr fontId="1"/>
  </si>
  <si>
    <t>https://tabelog.com/tokyo/A1314/A131402/13124567/</t>
    <phoneticPr fontId="1"/>
  </si>
  <si>
    <r>
      <t>HP</t>
    </r>
    <r>
      <rPr>
        <b/>
        <sz val="10"/>
        <color theme="1"/>
        <rFont val="ＭＳ ゴシック"/>
        <family val="3"/>
        <charset val="128"/>
      </rPr>
      <t>プラン名称</t>
    </r>
    <rPh sb="5" eb="7">
      <t>メイショウ</t>
    </rPh>
    <phoneticPr fontId="1"/>
  </si>
  <si>
    <r>
      <t>TL</t>
    </r>
    <r>
      <rPr>
        <b/>
        <sz val="10"/>
        <color theme="1"/>
        <rFont val="ＭＳ ゴシック"/>
        <family val="3"/>
        <charset val="128"/>
      </rPr>
      <t>プラン</t>
    </r>
    <r>
      <rPr>
        <b/>
        <sz val="10"/>
        <color theme="1"/>
        <rFont val="ＭＳ Ｐゴシック"/>
        <family val="2"/>
        <charset val="128"/>
      </rPr>
      <t>名称</t>
    </r>
    <rPh sb="5" eb="7">
      <t>メイショウ</t>
    </rPh>
    <phoneticPr fontId="1"/>
  </si>
  <si>
    <t>九州 熱中屋 田町三田LIVE</t>
    <phoneticPr fontId="1"/>
  </si>
  <si>
    <t>住所</t>
    <rPh sb="0" eb="2">
      <t>ジュウショ</t>
    </rPh>
    <phoneticPr fontId="1"/>
  </si>
  <si>
    <t>coe_nishiizu</t>
    <phoneticPr fontId="1"/>
  </si>
  <si>
    <t>yanko_love_vine</t>
    <phoneticPr fontId="1"/>
  </si>
  <si>
    <t>akihiro.1028</t>
    <phoneticPr fontId="1"/>
  </si>
  <si>
    <t>田町</t>
    <rPh sb="0" eb="2">
      <t>タマチ</t>
    </rPh>
    <phoneticPr fontId="1"/>
  </si>
  <si>
    <t>ミライザカ 新橋銀座口ガード下店</t>
    <phoneticPr fontId="1"/>
  </si>
  <si>
    <t>新橋</t>
    <rPh sb="0" eb="2">
      <t>シンバシ</t>
    </rPh>
    <phoneticPr fontId="1"/>
  </si>
  <si>
    <t>https://tabelog.com/tokyo/A1301/A130103/13238190/</t>
    <phoneticPr fontId="1"/>
  </si>
  <si>
    <t>https://www.hotpepper.jp/strJ000634450/</t>
    <phoneticPr fontId="1"/>
  </si>
  <si>
    <t>https://tabelog.com/tokyo/A1314/A131402/13125612/</t>
    <phoneticPr fontId="1"/>
  </si>
  <si>
    <t>https://www.hotpepper.jp/strJ000961372/</t>
    <phoneticPr fontId="1"/>
  </si>
  <si>
    <t>待ち時間</t>
    <rPh sb="0" eb="1">
      <t>マ</t>
    </rPh>
    <rPh sb="2" eb="4">
      <t>ジカン</t>
    </rPh>
    <phoneticPr fontId="1"/>
  </si>
  <si>
    <r>
      <rPr>
        <sz val="10"/>
        <color theme="1"/>
        <rFont val="游ゴシック"/>
        <family val="3"/>
        <charset val="128"/>
        <scheme val="minor"/>
      </rPr>
      <t>店名(入力)</t>
    </r>
    <rPh sb="3" eb="5">
      <t>ニュウリョク</t>
    </rPh>
    <phoneticPr fontId="1"/>
  </si>
  <si>
    <t>①黄色セルの下記の項目は手入力をしてください。</t>
    <rPh sb="1" eb="3">
      <t>キイロ</t>
    </rPh>
    <rPh sb="6" eb="8">
      <t>カキ</t>
    </rPh>
    <rPh sb="9" eb="11">
      <t>コウモク</t>
    </rPh>
    <rPh sb="12" eb="15">
      <t>テニュウリョク</t>
    </rPh>
    <phoneticPr fontId="1"/>
  </si>
  <si>
    <r>
      <t>HP</t>
    </r>
    <r>
      <rPr>
        <sz val="10"/>
        <color theme="1"/>
        <rFont val="游ゴシック"/>
        <family val="3"/>
        <charset val="128"/>
        <scheme val="minor"/>
      </rPr>
      <t>プラン名称</t>
    </r>
    <rPh sb="5" eb="7">
      <t>メイショウ</t>
    </rPh>
    <phoneticPr fontId="1"/>
  </si>
  <si>
    <r>
      <t>TL</t>
    </r>
    <r>
      <rPr>
        <sz val="10"/>
        <color theme="1"/>
        <rFont val="游ゴシック"/>
        <family val="3"/>
        <charset val="128"/>
        <scheme val="minor"/>
      </rPr>
      <t>プラン名称</t>
    </r>
    <rPh sb="5" eb="7">
      <t>メイショウ</t>
    </rPh>
    <phoneticPr fontId="1"/>
  </si>
  <si>
    <t>③グレーのセルは取得されないので、必要であればご自身で確認して入力してください。</t>
    <rPh sb="8" eb="10">
      <t>シュトク</t>
    </rPh>
    <rPh sb="17" eb="19">
      <t>ヒツヨウ</t>
    </rPh>
    <rPh sb="24" eb="26">
      <t>ジシン</t>
    </rPh>
    <rPh sb="27" eb="29">
      <t>カクニン</t>
    </rPh>
    <rPh sb="31" eb="33">
      <t>ニュウリョク</t>
    </rPh>
    <phoneticPr fontId="1"/>
  </si>
  <si>
    <t>行を削除すると、取得データの入力がずれるので注意！</t>
    <rPh sb="0" eb="1">
      <t>ギョウ</t>
    </rPh>
    <rPh sb="2" eb="4">
      <t>サクジョ</t>
    </rPh>
    <rPh sb="8" eb="10">
      <t>シュトク</t>
    </rPh>
    <rPh sb="14" eb="16">
      <t>ニュウリョク</t>
    </rPh>
    <rPh sb="22" eb="24">
      <t>チュウイ</t>
    </rPh>
    <phoneticPr fontId="1"/>
  </si>
  <si>
    <t>寿庵 芝浦店</t>
    <phoneticPr fontId="1"/>
  </si>
  <si>
    <t>④A3セルの店舗数は関数で繰り返し回数をカウントしているので、削除しないでください。</t>
    <rPh sb="6" eb="9">
      <t>テンポスウ</t>
    </rPh>
    <rPh sb="10" eb="12">
      <t>カンスウ</t>
    </rPh>
    <rPh sb="13" eb="14">
      <t>ク</t>
    </rPh>
    <rPh sb="15" eb="16">
      <t>カエ</t>
    </rPh>
    <rPh sb="17" eb="19">
      <t>カイスウ</t>
    </rPh>
    <rPh sb="31" eb="33">
      <t>サクジョ</t>
    </rPh>
    <phoneticPr fontId="1"/>
  </si>
  <si>
    <t>⑤B3セルの待ち時間は変更可能です。</t>
    <rPh sb="6" eb="7">
      <t>マ</t>
    </rPh>
    <rPh sb="8" eb="10">
      <t>ジカン</t>
    </rPh>
    <rPh sb="11" eb="13">
      <t>ヘンコウ</t>
    </rPh>
    <rPh sb="13" eb="15">
      <t>カノウ</t>
    </rPh>
    <phoneticPr fontId="1"/>
  </si>
  <si>
    <t>ネットの通信速度が遅い場合は、WEBサイトが開くまでの待ち時間を伸ばしてください。</t>
    <rPh sb="4" eb="6">
      <t>ツウシン</t>
    </rPh>
    <rPh sb="6" eb="8">
      <t>ソクド</t>
    </rPh>
    <rPh sb="9" eb="10">
      <t>オソ</t>
    </rPh>
    <rPh sb="11" eb="13">
      <t>バアイ</t>
    </rPh>
    <rPh sb="22" eb="23">
      <t>ヒラ</t>
    </rPh>
    <rPh sb="27" eb="28">
      <t>マ</t>
    </rPh>
    <rPh sb="29" eb="31">
      <t>ジカン</t>
    </rPh>
    <rPh sb="32" eb="33">
      <t>ノ</t>
    </rPh>
    <phoneticPr fontId="1"/>
  </si>
  <si>
    <t>②薄いオレンジのセルには関数が入っていますので削除しないでください。</t>
    <rPh sb="1" eb="2">
      <t>ウス</t>
    </rPh>
    <rPh sb="12" eb="14">
      <t>カンスウ</t>
    </rPh>
    <rPh sb="15" eb="16">
      <t>ハイ</t>
    </rPh>
    <rPh sb="23" eb="25">
      <t>サクジョ</t>
    </rPh>
    <phoneticPr fontId="1"/>
  </si>
  <si>
    <t>⑥GBPの取得があるので社内で回す場合はWi-Fi推奨です。</t>
    <rPh sb="5" eb="7">
      <t>シュトク</t>
    </rPh>
    <rPh sb="12" eb="14">
      <t>シャナイ</t>
    </rPh>
    <rPh sb="15" eb="16">
      <t>マワ</t>
    </rPh>
    <rPh sb="17" eb="19">
      <t>バアイ</t>
    </rPh>
    <rPh sb="25" eb="27">
      <t>スイショウ</t>
    </rPh>
    <phoneticPr fontId="1"/>
  </si>
  <si>
    <t>必要事項を記載したらスタートボタンをぽちっと！</t>
    <rPh sb="0" eb="2">
      <t>ヒツヨウ</t>
    </rPh>
    <rPh sb="2" eb="4">
      <t>ジコウ</t>
    </rPh>
    <rPh sb="5" eb="7">
      <t>キサイ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</si>
</sst>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游ゴシック"/>
      <family val="2"/>
      <charset val="128"/>
      <scheme val="minor"/>
    </font>
    <font>
      <sz val="6"/>
      <name val="游ゴシック"/>
      <family val="2"/>
      <charset val="128"/>
      <scheme val="minor"/>
    </font>
    <font>
      <sz val="10"/>
      <color theme="1"/>
      <name val="Arial"/>
      <family val="2"/>
    </font>
    <font>
      <b/>
      <sz val="10"/>
      <color theme="1"/>
      <name val="Arial"/>
      <family val="2"/>
    </font>
    <font>
      <b/>
      <sz val="10"/>
      <color theme="1"/>
      <name val="ＭＳ Ｐゴシック"/>
      <family val="2"/>
      <charset val="128"/>
    </font>
    <font>
      <b/>
      <sz val="10"/>
      <color theme="1"/>
      <name val="ＭＳ ゴシック"/>
      <family val="3"/>
      <charset val="128"/>
    </font>
    <font>
      <u/>
      <sz val="11"/>
      <color theme="10"/>
      <name val="游ゴシック"/>
      <family val="2"/>
      <charset val="128"/>
      <scheme val="minor"/>
    </font>
    <font>
      <b/>
      <sz val="10"/>
      <color theme="1"/>
      <name val="Arial"/>
      <family val="3"/>
      <charset val="128"/>
    </font>
    <font>
      <sz val="11"/>
      <color theme="1"/>
      <name val="游ゴシック"/>
      <family val="3"/>
      <charset val="128"/>
      <scheme val="minor"/>
    </font>
    <font>
      <sz val="11"/>
      <color rgb="FF000000"/>
      <name val="Arial"/>
      <family val="2"/>
    </font>
    <font>
      <sz val="11"/>
      <color theme="1"/>
      <name val="Arial"/>
      <family val="2"/>
    </font>
    <font>
      <u/>
      <sz val="11"/>
      <color theme="1"/>
      <name val="Arial"/>
      <family val="2"/>
    </font>
    <font>
      <sz val="11"/>
      <color rgb="FF000000"/>
      <name val="游ゴシック"/>
      <family val="3"/>
      <charset val="128"/>
    </font>
    <font>
      <sz val="6"/>
      <color theme="1"/>
      <name val="游ゴシック"/>
      <family val="3"/>
      <charset val="128"/>
      <scheme val="minor"/>
    </font>
    <font>
      <b/>
      <sz val="11"/>
      <color theme="1"/>
      <name val="游ゴシック"/>
      <family val="3"/>
      <charset val="128"/>
      <scheme val="minor"/>
    </font>
    <font>
      <sz val="10"/>
      <color theme="1"/>
      <name val="游ゴシック"/>
      <family val="3"/>
      <charset val="128"/>
      <scheme val="minor"/>
    </font>
  </fonts>
  <fills count="12">
    <fill>
      <patternFill patternType="none"/>
    </fill>
    <fill>
      <patternFill patternType="gray125"/>
    </fill>
    <fill>
      <patternFill patternType="solid">
        <fgColor rgb="FFCFE2F3"/>
        <bgColor indexed="64"/>
      </patternFill>
    </fill>
    <fill>
      <patternFill patternType="solid">
        <fgColor rgb="FFF4CCCC"/>
        <bgColor indexed="64"/>
      </patternFill>
    </fill>
    <fill>
      <patternFill patternType="solid">
        <fgColor rgb="FFFFE599"/>
        <bgColor indexed="64"/>
      </patternFill>
    </fill>
    <fill>
      <patternFill patternType="solid">
        <fgColor rgb="FF6D9EEB"/>
        <bgColor indexed="64"/>
      </patternFill>
    </fill>
    <fill>
      <patternFill patternType="solid">
        <fgColor rgb="FFFFFF00"/>
        <bgColor indexed="64"/>
      </patternFill>
    </fill>
    <fill>
      <patternFill patternType="solid">
        <fgColor rgb="FF46BDC6"/>
        <bgColor indexed="64"/>
      </patternFill>
    </fill>
    <fill>
      <patternFill patternType="solid">
        <fgColor rgb="FF999999"/>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tint="0.79998168889431442"/>
        <bgColor indexed="64"/>
      </patternFill>
    </fill>
  </fills>
  <borders count="9">
    <border>
      <left/>
      <right/>
      <top/>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53">
    <xf numFmtId="0" fontId="0" fillId="0" borderId="0" xfId="0">
      <alignment vertical="center"/>
    </xf>
    <xf numFmtId="0" fontId="2" fillId="0" borderId="2" xfId="0" applyFont="1" applyBorder="1" applyAlignment="1">
      <alignment wrapText="1"/>
    </xf>
    <xf numFmtId="0" fontId="0" fillId="0" borderId="3" xfId="0" applyBorder="1">
      <alignment vertical="center"/>
    </xf>
    <xf numFmtId="0" fontId="0" fillId="0" borderId="0" xfId="0" applyAlignment="1">
      <alignment vertical="center" wrapText="1"/>
    </xf>
    <xf numFmtId="0" fontId="0" fillId="9" borderId="3" xfId="0" applyFill="1" applyBorder="1">
      <alignment vertical="center"/>
    </xf>
    <xf numFmtId="0" fontId="0" fillId="6" borderId="3" xfId="0" applyFill="1" applyBorder="1" applyAlignment="1">
      <alignment vertical="center" wrapText="1"/>
    </xf>
    <xf numFmtId="0" fontId="0" fillId="6" borderId="3" xfId="0" applyFill="1" applyBorder="1">
      <alignment vertical="center"/>
    </xf>
    <xf numFmtId="0" fontId="6" fillId="6" borderId="3" xfId="1" applyFill="1" applyBorder="1">
      <alignment vertical="center"/>
    </xf>
    <xf numFmtId="0" fontId="9" fillId="0" borderId="4" xfId="0" applyFont="1" applyBorder="1" applyAlignment="1">
      <alignment horizontal="center" wrapText="1"/>
    </xf>
    <xf numFmtId="0" fontId="9" fillId="0" borderId="5" xfId="0" applyFont="1" applyBorder="1" applyAlignment="1">
      <alignment horizontal="center" wrapText="1"/>
    </xf>
    <xf numFmtId="0" fontId="9" fillId="0" borderId="6" xfId="0" applyFont="1" applyBorder="1" applyAlignment="1">
      <alignment horizontal="center" wrapText="1"/>
    </xf>
    <xf numFmtId="0" fontId="9" fillId="0" borderId="2" xfId="0" applyFont="1" applyBorder="1" applyAlignment="1">
      <alignment horizontal="center" wrapText="1"/>
    </xf>
    <xf numFmtId="0" fontId="9" fillId="8" borderId="6" xfId="0" applyFont="1" applyFill="1" applyBorder="1" applyAlignment="1">
      <alignment horizontal="center" wrapText="1"/>
    </xf>
    <xf numFmtId="0" fontId="9" fillId="8" borderId="2" xfId="0" applyFont="1" applyFill="1" applyBorder="1" applyAlignment="1">
      <alignment horizontal="center" wrapText="1"/>
    </xf>
    <xf numFmtId="0" fontId="10" fillId="0" borderId="4" xfId="0" applyFont="1" applyBorder="1" applyAlignment="1">
      <alignment horizontal="center" wrapText="1"/>
    </xf>
    <xf numFmtId="0" fontId="11" fillId="0" borderId="5" xfId="0" applyFont="1" applyBorder="1" applyAlignment="1">
      <alignment horizontal="center" wrapText="1"/>
    </xf>
    <xf numFmtId="0" fontId="10" fillId="0" borderId="6" xfId="0" applyFont="1" applyBorder="1" applyAlignment="1">
      <alignment horizontal="center" wrapText="1"/>
    </xf>
    <xf numFmtId="0" fontId="11" fillId="0" borderId="2" xfId="0" applyFont="1" applyBorder="1" applyAlignment="1">
      <alignment horizontal="center" wrapText="1"/>
    </xf>
    <xf numFmtId="0" fontId="10" fillId="0" borderId="2" xfId="0" applyFont="1" applyBorder="1" applyAlignment="1">
      <alignment horizontal="center" wrapText="1"/>
    </xf>
    <xf numFmtId="0" fontId="0" fillId="10" borderId="3" xfId="0" applyFill="1" applyBorder="1">
      <alignment vertical="center"/>
    </xf>
    <xf numFmtId="0" fontId="9" fillId="0" borderId="1" xfId="0" applyFont="1" applyBorder="1" applyAlignment="1">
      <alignment horizontal="center" vertical="center"/>
    </xf>
    <xf numFmtId="0" fontId="0" fillId="6" borderId="0" xfId="0" applyFill="1">
      <alignment vertical="center"/>
    </xf>
    <xf numFmtId="0" fontId="0" fillId="10" borderId="0" xfId="0" applyFill="1">
      <alignment vertical="center"/>
    </xf>
    <xf numFmtId="0" fontId="13" fillId="6" borderId="3" xfId="0" applyFont="1" applyFill="1" applyBorder="1">
      <alignment vertical="center"/>
    </xf>
    <xf numFmtId="0" fontId="13" fillId="6" borderId="0" xfId="0" applyFont="1" applyFill="1">
      <alignment vertical="center"/>
    </xf>
    <xf numFmtId="0" fontId="6" fillId="0" borderId="3" xfId="1" applyBorder="1">
      <alignment vertical="center"/>
    </xf>
    <xf numFmtId="0" fontId="6" fillId="6" borderId="0" xfId="1" applyFill="1">
      <alignment vertical="center"/>
    </xf>
    <xf numFmtId="0" fontId="8" fillId="6" borderId="3" xfId="0" applyFont="1" applyFill="1" applyBorder="1" applyAlignment="1">
      <alignment vertical="center" wrapText="1"/>
    </xf>
    <xf numFmtId="0" fontId="0" fillId="0" borderId="7" xfId="0" applyBorder="1">
      <alignment vertical="center"/>
    </xf>
    <xf numFmtId="0" fontId="0" fillId="9" borderId="7" xfId="0" applyFill="1" applyBorder="1">
      <alignment vertical="center"/>
    </xf>
    <xf numFmtId="0" fontId="0" fillId="10" borderId="7" xfId="0" applyFill="1" applyBorder="1">
      <alignment vertical="center"/>
    </xf>
    <xf numFmtId="0" fontId="3" fillId="0" borderId="8" xfId="0" applyFont="1" applyBorder="1" applyAlignment="1">
      <alignment wrapText="1"/>
    </xf>
    <xf numFmtId="0" fontId="5" fillId="0" borderId="8" xfId="0" applyFont="1" applyBorder="1" applyAlignment="1">
      <alignment wrapText="1"/>
    </xf>
    <xf numFmtId="0" fontId="4" fillId="0" borderId="8" xfId="0" applyFont="1" applyBorder="1" applyAlignment="1">
      <alignment wrapText="1"/>
    </xf>
    <xf numFmtId="0" fontId="8" fillId="6" borderId="7" xfId="0" applyFont="1" applyFill="1" applyBorder="1" applyAlignment="1">
      <alignment vertical="center" wrapText="1"/>
    </xf>
    <xf numFmtId="0" fontId="0" fillId="6" borderId="7" xfId="0" applyFill="1" applyBorder="1" applyAlignment="1">
      <alignment vertical="center" wrapText="1"/>
    </xf>
    <xf numFmtId="0" fontId="0" fillId="6" borderId="7" xfId="0" applyFill="1" applyBorder="1">
      <alignment vertical="center"/>
    </xf>
    <xf numFmtId="0" fontId="7" fillId="7" borderId="8" xfId="0" applyFont="1" applyFill="1" applyBorder="1" applyAlignment="1">
      <alignment wrapText="1"/>
    </xf>
    <xf numFmtId="0" fontId="3" fillId="7" borderId="8" xfId="0" applyFont="1" applyFill="1" applyBorder="1" applyAlignment="1">
      <alignment wrapText="1"/>
    </xf>
    <xf numFmtId="0" fontId="4" fillId="7" borderId="8" xfId="0" applyFont="1" applyFill="1" applyBorder="1" applyAlignment="1">
      <alignment wrapText="1"/>
    </xf>
    <xf numFmtId="0" fontId="6" fillId="6" borderId="7" xfId="1" applyFill="1" applyBorder="1">
      <alignment vertical="center"/>
    </xf>
    <xf numFmtId="0" fontId="6" fillId="6" borderId="0" xfId="1" applyFill="1" applyBorder="1">
      <alignment vertical="center"/>
    </xf>
    <xf numFmtId="21" fontId="0" fillId="0" borderId="0" xfId="0" applyNumberFormat="1">
      <alignment vertical="center"/>
    </xf>
    <xf numFmtId="0" fontId="8" fillId="0" borderId="0" xfId="0" applyFont="1">
      <alignment vertical="center"/>
    </xf>
    <xf numFmtId="0" fontId="14" fillId="6" borderId="0" xfId="0" applyFont="1" applyFill="1">
      <alignment vertical="center"/>
    </xf>
    <xf numFmtId="0" fontId="14" fillId="0" borderId="0" xfId="0" applyFont="1">
      <alignment vertical="center"/>
    </xf>
    <xf numFmtId="0" fontId="14" fillId="11" borderId="0" xfId="0" applyFont="1" applyFill="1">
      <alignment vertical="center"/>
    </xf>
    <xf numFmtId="0" fontId="0" fillId="9" borderId="0" xfId="0" applyFill="1">
      <alignment vertical="center"/>
    </xf>
    <xf numFmtId="0" fontId="8" fillId="9" borderId="0" xfId="0" applyFont="1" applyFill="1">
      <alignment vertical="center"/>
    </xf>
    <xf numFmtId="0" fontId="3" fillId="2" borderId="8" xfId="0" applyFont="1" applyFill="1" applyBorder="1" applyAlignment="1">
      <alignment horizontal="center" wrapText="1"/>
    </xf>
    <xf numFmtId="0" fontId="3" fillId="3" borderId="8" xfId="0" applyFont="1" applyFill="1" applyBorder="1" applyAlignment="1">
      <alignment horizontal="center" wrapText="1"/>
    </xf>
    <xf numFmtId="0" fontId="3" fillId="4" borderId="8" xfId="0" applyFont="1" applyFill="1" applyBorder="1" applyAlignment="1">
      <alignment horizontal="center" wrapText="1"/>
    </xf>
    <xf numFmtId="0" fontId="3" fillId="5" borderId="8" xfId="0" applyFont="1" applyFill="1" applyBorder="1" applyAlignment="1">
      <alignment horizontal="center"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0</xdr:row>
          <xdr:rowOff>53340</xdr:rowOff>
        </xdr:from>
        <xdr:to>
          <xdr:col>3</xdr:col>
          <xdr:colOff>1630680</xdr:colOff>
          <xdr:row>0</xdr:row>
          <xdr:rowOff>655320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スタート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tabelog.com/tokyo/A1301/A130103/13238190/" TargetMode="External"/><Relationship Id="rId7" Type="http://schemas.openxmlformats.org/officeDocument/2006/relationships/drawing" Target="../drawings/drawing1.xml"/><Relationship Id="rId2" Type="http://schemas.openxmlformats.org/officeDocument/2006/relationships/hyperlink" Target="https://www.hotpepper.jp/strJ001154928/" TargetMode="External"/><Relationship Id="rId1" Type="http://schemas.openxmlformats.org/officeDocument/2006/relationships/hyperlink" Target="https://tabelog.com/tokyo/A1314/A131402/13124567/" TargetMode="External"/><Relationship Id="rId6" Type="http://schemas.openxmlformats.org/officeDocument/2006/relationships/hyperlink" Target="https://www.hotpepper.jp/strJ000961372/" TargetMode="External"/><Relationship Id="rId5" Type="http://schemas.openxmlformats.org/officeDocument/2006/relationships/hyperlink" Target="https://tabelog.com/tokyo/A1314/A131402/13125612/" TargetMode="External"/><Relationship Id="rId4" Type="http://schemas.openxmlformats.org/officeDocument/2006/relationships/hyperlink" Target="https://www.hotpepper.jp/strJ000634450/" TargetMode="External"/><Relationship Id="rId9"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83230-913C-4990-B534-DFD8F3F6F4FE}">
  <sheetPr codeName="Sheet2"/>
  <dimension ref="A1:R35"/>
  <sheetViews>
    <sheetView tabSelected="1" zoomScale="81" zoomScaleNormal="100" workbookViewId="0">
      <pane xSplit="3" ySplit="4" topLeftCell="D5" activePane="bottomRight" state="frozen"/>
      <selection pane="topRight" activeCell="D1" sqref="D1"/>
      <selection pane="bottomLeft" activeCell="A5" sqref="A5"/>
      <selection pane="bottomRight" activeCell="E31" sqref="E31"/>
    </sheetView>
  </sheetViews>
  <sheetFormatPr defaultRowHeight="18" outlineLevelRow="1" x14ac:dyDescent="0.45"/>
  <cols>
    <col min="1" max="1" width="9.69921875" customWidth="1"/>
    <col min="2" max="2" width="9.8984375" customWidth="1"/>
    <col min="3" max="3" width="18.59765625" customWidth="1"/>
    <col min="4" max="4" width="23" customWidth="1"/>
    <col min="5" max="18" width="19.69921875" customWidth="1"/>
  </cols>
  <sheetData>
    <row r="1" spans="1:18" ht="52.8" customHeight="1" x14ac:dyDescent="0.45">
      <c r="B1" s="21" t="s">
        <v>66</v>
      </c>
      <c r="C1" s="22" t="s">
        <v>67</v>
      </c>
      <c r="E1" s="42"/>
    </row>
    <row r="2" spans="1:18" ht="18.600000000000001" thickBot="1" x14ac:dyDescent="0.5">
      <c r="A2" t="s">
        <v>23</v>
      </c>
      <c r="B2" t="s">
        <v>84</v>
      </c>
      <c r="D2">
        <v>1</v>
      </c>
      <c r="E2">
        <v>2</v>
      </c>
      <c r="F2">
        <v>3</v>
      </c>
      <c r="G2">
        <v>4</v>
      </c>
      <c r="H2">
        <v>5</v>
      </c>
      <c r="I2">
        <v>6</v>
      </c>
      <c r="J2">
        <v>7</v>
      </c>
      <c r="K2">
        <v>8</v>
      </c>
      <c r="L2">
        <v>9</v>
      </c>
      <c r="M2">
        <v>10</v>
      </c>
      <c r="N2">
        <v>11</v>
      </c>
      <c r="O2">
        <v>12</v>
      </c>
      <c r="P2">
        <v>13</v>
      </c>
      <c r="Q2">
        <v>14</v>
      </c>
      <c r="R2">
        <v>15</v>
      </c>
    </row>
    <row r="3" spans="1:18" s="3" customFormat="1" ht="42.6" customHeight="1" thickTop="1" thickBot="1" x14ac:dyDescent="0.3">
      <c r="A3" s="3">
        <f>COUNTA(D3:XFD3)</f>
        <v>3</v>
      </c>
      <c r="B3" s="42">
        <v>4.6296296296296294E-5</v>
      </c>
      <c r="C3" s="37" t="s">
        <v>26</v>
      </c>
      <c r="D3" s="5" t="s">
        <v>72</v>
      </c>
      <c r="E3" s="5" t="s">
        <v>78</v>
      </c>
      <c r="F3" s="35" t="s">
        <v>91</v>
      </c>
      <c r="G3" s="5"/>
      <c r="H3" s="5"/>
      <c r="I3" s="5"/>
      <c r="J3" s="5"/>
      <c r="K3" s="5"/>
      <c r="L3" s="5"/>
      <c r="M3" s="5"/>
      <c r="N3" s="5"/>
      <c r="O3" s="5"/>
      <c r="P3" s="5"/>
      <c r="Q3" s="5"/>
      <c r="R3" s="5"/>
    </row>
    <row r="4" spans="1:18" ht="19.2" thickTop="1" thickBot="1" x14ac:dyDescent="0.3">
      <c r="C4" s="38" t="s">
        <v>4</v>
      </c>
      <c r="D4" s="36" t="s">
        <v>77</v>
      </c>
      <c r="E4" s="36" t="s">
        <v>79</v>
      </c>
      <c r="F4" s="6" t="s">
        <v>77</v>
      </c>
      <c r="G4" s="6"/>
      <c r="H4" s="6"/>
      <c r="I4" s="6"/>
      <c r="J4" s="6"/>
      <c r="K4" s="6"/>
      <c r="L4" s="6"/>
      <c r="M4" s="6"/>
      <c r="N4" s="6"/>
      <c r="O4" s="6"/>
      <c r="P4" s="6"/>
      <c r="Q4" s="6"/>
      <c r="R4" s="6"/>
    </row>
    <row r="5" spans="1:18" ht="19.2" outlineLevel="1" thickTop="1" thickBot="1" x14ac:dyDescent="0.2">
      <c r="C5" s="39" t="s">
        <v>73</v>
      </c>
      <c r="D5" s="28"/>
      <c r="E5" s="2"/>
      <c r="F5" s="2"/>
      <c r="G5" s="2"/>
      <c r="H5" s="2"/>
      <c r="I5" s="2"/>
      <c r="J5" s="2"/>
      <c r="K5" s="2"/>
      <c r="L5" s="2"/>
      <c r="M5" s="2"/>
      <c r="N5" s="2"/>
      <c r="O5" s="2"/>
      <c r="P5" s="2"/>
      <c r="Q5" s="2"/>
      <c r="R5" s="2"/>
    </row>
    <row r="6" spans="1:18" ht="19.2" thickTop="1" thickBot="1" x14ac:dyDescent="0.2">
      <c r="C6" s="39" t="s">
        <v>27</v>
      </c>
      <c r="D6" s="40" t="s">
        <v>69</v>
      </c>
      <c r="E6" s="7" t="s">
        <v>80</v>
      </c>
      <c r="F6" s="7" t="s">
        <v>82</v>
      </c>
      <c r="G6" s="23"/>
      <c r="H6" s="23"/>
      <c r="I6" s="23"/>
      <c r="J6" s="23"/>
      <c r="K6" s="23"/>
      <c r="L6" s="23"/>
      <c r="M6" s="23"/>
      <c r="N6" s="23"/>
      <c r="O6" s="23"/>
      <c r="P6" s="23"/>
      <c r="Q6" s="23"/>
      <c r="R6" s="23"/>
    </row>
    <row r="7" spans="1:18" ht="19.2" thickTop="1" thickBot="1" x14ac:dyDescent="0.2">
      <c r="C7" s="39" t="s">
        <v>51</v>
      </c>
      <c r="D7" s="41" t="s">
        <v>68</v>
      </c>
      <c r="E7" s="26" t="s">
        <v>81</v>
      </c>
      <c r="F7" s="26" t="s">
        <v>83</v>
      </c>
      <c r="G7" s="24"/>
      <c r="H7" s="24"/>
      <c r="I7" s="24"/>
      <c r="J7" s="24"/>
      <c r="K7" s="24"/>
      <c r="L7" s="24"/>
      <c r="M7" s="24"/>
      <c r="N7" s="24"/>
      <c r="O7" s="24"/>
      <c r="P7" s="24"/>
      <c r="Q7" s="24"/>
      <c r="R7" s="24"/>
    </row>
    <row r="8" spans="1:18" ht="19.2" thickTop="1" thickBot="1" x14ac:dyDescent="0.5"/>
    <row r="9" spans="1:18" ht="25.2" thickTop="1" thickBot="1" x14ac:dyDescent="0.2">
      <c r="B9" s="49" t="s">
        <v>0</v>
      </c>
      <c r="C9" s="32" t="s">
        <v>24</v>
      </c>
      <c r="D9" s="28"/>
      <c r="E9" s="2"/>
      <c r="F9" s="2"/>
      <c r="G9" s="2"/>
      <c r="H9" s="2"/>
      <c r="I9" s="2"/>
      <c r="J9" s="2"/>
      <c r="K9" s="2"/>
      <c r="L9" s="2"/>
      <c r="M9" s="2"/>
      <c r="N9" s="2"/>
      <c r="O9" s="2"/>
      <c r="P9" s="2"/>
      <c r="Q9" s="2"/>
      <c r="R9" s="2"/>
    </row>
    <row r="10" spans="1:18" ht="19.2" thickTop="1" thickBot="1" x14ac:dyDescent="0.3">
      <c r="B10" s="49"/>
      <c r="C10" s="31" t="s">
        <v>5</v>
      </c>
      <c r="D10" s="28"/>
      <c r="E10" s="2"/>
      <c r="F10" s="2"/>
      <c r="G10" s="2"/>
      <c r="H10" s="2"/>
      <c r="I10" s="2"/>
      <c r="J10" s="2"/>
      <c r="K10" s="2"/>
      <c r="L10" s="2"/>
      <c r="M10" s="2"/>
      <c r="N10" s="2"/>
      <c r="O10" s="2"/>
      <c r="P10" s="2"/>
      <c r="Q10" s="2"/>
      <c r="R10" s="2"/>
    </row>
    <row r="11" spans="1:18" ht="19.2" thickTop="1" thickBot="1" x14ac:dyDescent="0.3">
      <c r="B11" s="49"/>
      <c r="C11" s="31" t="s">
        <v>6</v>
      </c>
      <c r="D11" s="28"/>
      <c r="E11" s="2"/>
      <c r="F11" s="2"/>
      <c r="G11" s="2"/>
      <c r="H11" s="2"/>
      <c r="I11" s="2"/>
      <c r="J11" s="2"/>
      <c r="K11" s="2"/>
      <c r="L11" s="2"/>
      <c r="M11" s="2"/>
      <c r="N11" s="2"/>
      <c r="O11" s="2"/>
      <c r="P11" s="2"/>
      <c r="Q11" s="2"/>
      <c r="R11" s="2"/>
    </row>
    <row r="12" spans="1:18" ht="19.2" thickTop="1" thickBot="1" x14ac:dyDescent="0.3">
      <c r="B12" s="49"/>
      <c r="C12" s="31" t="s">
        <v>7</v>
      </c>
      <c r="D12" s="28"/>
      <c r="E12" s="2"/>
      <c r="F12" s="2"/>
      <c r="G12" s="2"/>
      <c r="H12" s="2"/>
      <c r="I12" s="2"/>
      <c r="J12" s="2"/>
      <c r="K12" s="2"/>
      <c r="L12" s="2"/>
      <c r="M12" s="2"/>
      <c r="N12" s="2"/>
      <c r="O12" s="2"/>
      <c r="P12" s="2"/>
      <c r="Q12" s="2"/>
      <c r="R12" s="2"/>
    </row>
    <row r="13" spans="1:18" ht="19.2" thickTop="1" thickBot="1" x14ac:dyDescent="0.3">
      <c r="B13" s="49"/>
      <c r="C13" s="31" t="s">
        <v>8</v>
      </c>
      <c r="D13" s="28"/>
      <c r="E13" s="2"/>
      <c r="F13" s="2"/>
      <c r="G13" s="2"/>
      <c r="H13" s="2"/>
      <c r="I13" s="2"/>
      <c r="J13" s="2"/>
      <c r="K13" s="2"/>
      <c r="L13" s="2"/>
      <c r="M13" s="2"/>
      <c r="N13" s="2"/>
      <c r="O13" s="2"/>
      <c r="P13" s="2"/>
      <c r="Q13" s="2"/>
      <c r="R13" s="2"/>
    </row>
    <row r="14" spans="1:18" ht="19.2" thickTop="1" thickBot="1" x14ac:dyDescent="0.3">
      <c r="B14" s="49"/>
      <c r="C14" s="31" t="s">
        <v>9</v>
      </c>
      <c r="D14" s="29"/>
      <c r="E14" s="4"/>
      <c r="F14" s="4"/>
      <c r="G14" s="4"/>
      <c r="H14" s="4"/>
      <c r="I14" s="4"/>
      <c r="J14" s="4"/>
      <c r="K14" s="4"/>
      <c r="L14" s="4"/>
      <c r="M14" s="4"/>
      <c r="N14" s="4"/>
      <c r="O14" s="4"/>
      <c r="P14" s="4"/>
      <c r="Q14" s="4"/>
      <c r="R14" s="4"/>
    </row>
    <row r="15" spans="1:18" ht="19.2" thickTop="1" thickBot="1" x14ac:dyDescent="0.5">
      <c r="D15" s="2"/>
      <c r="E15" s="2"/>
      <c r="F15" s="2"/>
      <c r="G15" s="2"/>
      <c r="H15" s="2"/>
      <c r="I15" s="2"/>
      <c r="J15" s="2"/>
      <c r="K15" s="2"/>
      <c r="L15" s="2"/>
      <c r="M15" s="2"/>
      <c r="N15" s="2"/>
      <c r="O15" s="2"/>
      <c r="P15" s="2"/>
      <c r="Q15" s="2"/>
      <c r="R15" s="2"/>
    </row>
    <row r="16" spans="1:18" ht="19.2" outlineLevel="1" thickTop="1" thickBot="1" x14ac:dyDescent="0.3">
      <c r="B16" s="50" t="s">
        <v>1</v>
      </c>
      <c r="C16" s="31" t="s">
        <v>10</v>
      </c>
      <c r="D16" s="28"/>
      <c r="E16" s="2"/>
      <c r="F16" s="2"/>
      <c r="G16" s="2"/>
      <c r="H16" s="2"/>
      <c r="I16" s="2"/>
      <c r="J16" s="2"/>
      <c r="K16" s="2"/>
      <c r="L16" s="2"/>
      <c r="M16" s="2"/>
      <c r="N16" s="2"/>
      <c r="O16" s="2"/>
      <c r="P16" s="2"/>
      <c r="Q16" s="2"/>
      <c r="R16" s="2"/>
    </row>
    <row r="17" spans="2:18" ht="19.2" thickTop="1" thickBot="1" x14ac:dyDescent="0.3">
      <c r="B17" s="50"/>
      <c r="C17" s="31" t="s">
        <v>70</v>
      </c>
      <c r="D17" s="30" t="str">
        <f>IFERROR(VLOOKUP(D$16,プラン変換用!$D:$E,2,FALSE),"不明")</f>
        <v>不明</v>
      </c>
      <c r="E17" s="19" t="str">
        <f>IFERROR(VLOOKUP(E$16,プラン変換用!$D:$E,2,FALSE),"不明")</f>
        <v>不明</v>
      </c>
      <c r="F17" s="19" t="str">
        <f>IFERROR(VLOOKUP(F$16,プラン変換用!$D:$E,2,FALSE),"不明")</f>
        <v>不明</v>
      </c>
      <c r="G17" s="19" t="str">
        <f>IFERROR(VLOOKUP(G$16,プラン変換用!$D:$E,2,FALSE),"不明")</f>
        <v>不明</v>
      </c>
      <c r="H17" s="19" t="str">
        <f>IFERROR(VLOOKUP(H$16,プラン変換用!$D:$E,2,FALSE),"不明")</f>
        <v>不明</v>
      </c>
      <c r="I17" s="19" t="str">
        <f>IFERROR(VLOOKUP(I$16,プラン変換用!$D:$E,2,FALSE),"不明")</f>
        <v>不明</v>
      </c>
      <c r="J17" s="19" t="str">
        <f>IFERROR(VLOOKUP(J$16,プラン変換用!$D:$E,2,FALSE),"不明")</f>
        <v>不明</v>
      </c>
      <c r="K17" s="19" t="str">
        <f>IFERROR(VLOOKUP(K$16,プラン変換用!$D:$E,2,FALSE),"不明")</f>
        <v>不明</v>
      </c>
      <c r="L17" s="19" t="str">
        <f>IFERROR(VLOOKUP(L$16,プラン変換用!$D:$E,2,FALSE),"不明")</f>
        <v>不明</v>
      </c>
      <c r="M17" s="19" t="str">
        <f>IFERROR(VLOOKUP(M$16,プラン変換用!$D:$E,2,FALSE),"不明")</f>
        <v>不明</v>
      </c>
      <c r="N17" s="19" t="str">
        <f>IFERROR(VLOOKUP(N$16,プラン変換用!$D:$E,2,FALSE),"不明")</f>
        <v>不明</v>
      </c>
      <c r="O17" s="19" t="str">
        <f>IFERROR(VLOOKUP(O$16,プラン変換用!$D:$E,2,FALSE),"不明")</f>
        <v>不明</v>
      </c>
      <c r="P17" s="19" t="str">
        <f>IFERROR(VLOOKUP(P$16,プラン変換用!$D:$E,2,FALSE),"不明")</f>
        <v>不明</v>
      </c>
      <c r="Q17" s="19" t="str">
        <f>IFERROR(VLOOKUP(Q$16,プラン変換用!$D:$E,2,FALSE),"不明")</f>
        <v>不明</v>
      </c>
      <c r="R17" s="19" t="str">
        <f>IFERROR(VLOOKUP(R$16,プラン変換用!$D:$E,2,FALSE),"不明")</f>
        <v>不明</v>
      </c>
    </row>
    <row r="18" spans="2:18" ht="19.2" thickTop="1" thickBot="1" x14ac:dyDescent="0.3">
      <c r="B18" s="50"/>
      <c r="C18" s="31" t="s">
        <v>11</v>
      </c>
      <c r="D18" s="28"/>
      <c r="E18" s="25"/>
      <c r="F18" s="2"/>
      <c r="G18" s="2"/>
      <c r="H18" s="2"/>
      <c r="I18" s="2"/>
      <c r="J18" s="2"/>
      <c r="K18" s="2"/>
      <c r="L18" s="2"/>
      <c r="M18" s="2"/>
      <c r="N18" s="2"/>
      <c r="O18" s="2"/>
      <c r="P18" s="2"/>
      <c r="Q18" s="2"/>
      <c r="R18" s="2"/>
    </row>
    <row r="19" spans="2:18" ht="19.2" outlineLevel="1" thickTop="1" thickBot="1" x14ac:dyDescent="0.3">
      <c r="B19" s="50"/>
      <c r="C19" s="31" t="s">
        <v>12</v>
      </c>
      <c r="D19" s="28"/>
      <c r="E19" s="2"/>
      <c r="F19" s="2"/>
      <c r="G19" s="2"/>
      <c r="H19" s="2"/>
      <c r="I19" s="2"/>
      <c r="J19" s="2"/>
      <c r="K19" s="2"/>
      <c r="L19" s="2"/>
      <c r="M19" s="2"/>
      <c r="N19" s="2"/>
      <c r="O19" s="2"/>
      <c r="P19" s="2"/>
      <c r="Q19" s="2"/>
      <c r="R19" s="2"/>
    </row>
    <row r="20" spans="2:18" ht="19.2" thickTop="1" thickBot="1" x14ac:dyDescent="0.3">
      <c r="B20" s="50"/>
      <c r="C20" s="31" t="s">
        <v>71</v>
      </c>
      <c r="D20" s="30" t="str">
        <f>IFERROR(VLOOKUP(D$19,プラン変換用!$A:$B,2,FALSE),"不明")</f>
        <v>不明</v>
      </c>
      <c r="E20" s="19" t="str">
        <f>IFERROR(VLOOKUP(E$19,プラン変換用!$A:$B,2,FALSE),"不明")</f>
        <v>不明</v>
      </c>
      <c r="F20" s="19" t="str">
        <f>IFERROR(VLOOKUP(F$19,プラン変換用!$A:$B,2,FALSE),"不明")</f>
        <v>不明</v>
      </c>
      <c r="G20" s="19" t="str">
        <f>IFERROR(VLOOKUP(G$19,プラン変換用!$A:$B,2,FALSE),"不明")</f>
        <v>不明</v>
      </c>
      <c r="H20" s="19" t="str">
        <f>IFERROR(VLOOKUP(H$19,プラン変換用!$A:$B,2,FALSE),"不明")</f>
        <v>不明</v>
      </c>
      <c r="I20" s="19" t="str">
        <f>IFERROR(VLOOKUP(I$19,プラン変換用!$A:$B,2,FALSE),"不明")</f>
        <v>不明</v>
      </c>
      <c r="J20" s="19" t="str">
        <f>IFERROR(VLOOKUP(J$19,プラン変換用!$A:$B,2,FALSE),"不明")</f>
        <v>不明</v>
      </c>
      <c r="K20" s="19" t="str">
        <f>IFERROR(VLOOKUP(K$19,プラン変換用!$A:$B,2,FALSE),"不明")</f>
        <v>不明</v>
      </c>
      <c r="L20" s="19" t="str">
        <f>IFERROR(VLOOKUP(L$19,プラン変換用!$A:$B,2,FALSE),"不明")</f>
        <v>不明</v>
      </c>
      <c r="M20" s="19" t="str">
        <f>IFERROR(VLOOKUP(M$19,プラン変換用!$A:$B,2,FALSE),"不明")</f>
        <v>不明</v>
      </c>
      <c r="N20" s="19" t="str">
        <f>IFERROR(VLOOKUP(N$19,プラン変換用!$A:$B,2,FALSE),"不明")</f>
        <v>不明</v>
      </c>
      <c r="O20" s="19" t="str">
        <f>IFERROR(VLOOKUP(O$19,プラン変換用!$A:$B,2,FALSE),"不明")</f>
        <v>不明</v>
      </c>
      <c r="P20" s="19" t="str">
        <f>IFERROR(VLOOKUP(P$19,プラン変換用!$A:$B,2,FALSE),"不明")</f>
        <v>不明</v>
      </c>
      <c r="Q20" s="19" t="str">
        <f>IFERROR(VLOOKUP(Q$19,プラン変換用!$A:$B,2,FALSE),"不明")</f>
        <v>不明</v>
      </c>
      <c r="R20" s="19" t="str">
        <f>IFERROR(VLOOKUP(R$19,プラン変換用!$A:$B,2,FALSE),"不明")</f>
        <v>不明</v>
      </c>
    </row>
    <row r="21" spans="2:18" ht="19.2" thickTop="1" thickBot="1" x14ac:dyDescent="0.3">
      <c r="B21" s="50"/>
      <c r="C21" s="31" t="s">
        <v>13</v>
      </c>
      <c r="D21" s="28"/>
      <c r="E21" s="2"/>
      <c r="F21" s="2"/>
      <c r="G21" s="2"/>
      <c r="H21" s="2"/>
      <c r="I21" s="2"/>
      <c r="J21" s="2"/>
      <c r="K21" s="2"/>
      <c r="L21" s="2"/>
      <c r="M21" s="2"/>
      <c r="N21" s="2"/>
      <c r="O21" s="2"/>
      <c r="P21" s="2"/>
      <c r="Q21" s="2"/>
      <c r="R21" s="2"/>
    </row>
    <row r="22" spans="2:18" ht="19.2" thickTop="1" thickBot="1" x14ac:dyDescent="0.3">
      <c r="B22" s="50"/>
      <c r="C22" s="31" t="s">
        <v>14</v>
      </c>
      <c r="D22" s="29"/>
      <c r="E22" s="4"/>
      <c r="F22" s="4"/>
      <c r="G22" s="4"/>
      <c r="H22" s="4"/>
      <c r="I22" s="4"/>
      <c r="J22" s="4"/>
      <c r="K22" s="4"/>
      <c r="L22" s="4"/>
      <c r="M22" s="4"/>
      <c r="N22" s="4"/>
      <c r="O22" s="4"/>
      <c r="P22" s="4"/>
      <c r="Q22" s="4"/>
      <c r="R22" s="4"/>
    </row>
    <row r="23" spans="2:18" ht="19.2" thickTop="1" thickBot="1" x14ac:dyDescent="0.5">
      <c r="D23" s="2"/>
      <c r="E23" s="2"/>
      <c r="F23" s="2"/>
      <c r="G23" s="2"/>
      <c r="H23" s="2"/>
      <c r="I23" s="2"/>
      <c r="J23" s="2"/>
      <c r="K23" s="2"/>
      <c r="L23" s="2"/>
      <c r="M23" s="2"/>
      <c r="N23" s="2"/>
      <c r="O23" s="2"/>
      <c r="P23" s="2"/>
      <c r="Q23" s="2"/>
      <c r="R23" s="2"/>
    </row>
    <row r="24" spans="2:18" ht="19.2" thickTop="1" thickBot="1" x14ac:dyDescent="0.2">
      <c r="B24" s="51" t="s">
        <v>2</v>
      </c>
      <c r="C24" s="33" t="s">
        <v>25</v>
      </c>
      <c r="D24" s="28"/>
      <c r="E24" s="2"/>
      <c r="F24" s="2"/>
      <c r="G24" s="2"/>
      <c r="H24" s="2"/>
      <c r="I24" s="2"/>
      <c r="J24" s="2"/>
      <c r="K24" s="2"/>
      <c r="L24" s="2"/>
      <c r="M24" s="2"/>
      <c r="N24" s="2"/>
      <c r="O24" s="2"/>
      <c r="P24" s="2"/>
      <c r="Q24" s="2"/>
      <c r="R24" s="2"/>
    </row>
    <row r="25" spans="2:18" ht="19.2" thickTop="1" thickBot="1" x14ac:dyDescent="0.3">
      <c r="B25" s="51"/>
      <c r="C25" s="31" t="s">
        <v>15</v>
      </c>
      <c r="D25" s="28"/>
      <c r="E25" s="2"/>
      <c r="F25" s="2"/>
      <c r="G25" s="2"/>
      <c r="H25" s="2"/>
      <c r="I25" s="2"/>
      <c r="J25" s="2"/>
      <c r="K25" s="2"/>
      <c r="L25" s="2"/>
      <c r="M25" s="2"/>
      <c r="N25" s="2"/>
      <c r="O25" s="2"/>
      <c r="P25" s="2"/>
      <c r="Q25" s="2"/>
      <c r="R25" s="2"/>
    </row>
    <row r="26" spans="2:18" ht="19.2" thickTop="1" thickBot="1" x14ac:dyDescent="0.3">
      <c r="B26" s="51"/>
      <c r="C26" s="31" t="s">
        <v>16</v>
      </c>
      <c r="D26" s="28"/>
      <c r="E26" s="2"/>
      <c r="F26" s="2"/>
      <c r="G26" s="2"/>
      <c r="H26" s="2"/>
      <c r="I26" s="2"/>
      <c r="J26" s="2"/>
      <c r="K26" s="2"/>
      <c r="L26" s="2"/>
      <c r="M26" s="2"/>
      <c r="N26" s="2"/>
      <c r="O26" s="2"/>
      <c r="P26" s="2"/>
      <c r="Q26" s="2"/>
      <c r="R26" s="2"/>
    </row>
    <row r="27" spans="2:18" ht="19.2" thickTop="1" thickBot="1" x14ac:dyDescent="0.3">
      <c r="B27" s="51"/>
      <c r="C27" s="31" t="s">
        <v>17</v>
      </c>
      <c r="D27" s="28"/>
      <c r="E27" s="2"/>
      <c r="F27" s="2"/>
      <c r="G27" s="2"/>
      <c r="H27" s="2"/>
      <c r="I27" s="2"/>
      <c r="J27" s="2"/>
      <c r="K27" s="2"/>
      <c r="L27" s="2"/>
      <c r="M27" s="2"/>
      <c r="N27" s="2"/>
      <c r="O27" s="2"/>
      <c r="P27" s="2"/>
      <c r="Q27" s="2"/>
      <c r="R27" s="2"/>
    </row>
    <row r="28" spans="2:18" ht="19.2" thickTop="1" thickBot="1" x14ac:dyDescent="0.3">
      <c r="B28" s="51"/>
      <c r="C28" s="31" t="s">
        <v>18</v>
      </c>
      <c r="D28" s="28"/>
      <c r="E28" s="2"/>
      <c r="F28" s="2"/>
      <c r="G28" s="2"/>
      <c r="H28" s="2"/>
      <c r="I28" s="2"/>
      <c r="J28" s="2"/>
      <c r="K28" s="2"/>
      <c r="L28" s="2"/>
      <c r="M28" s="2"/>
      <c r="N28" s="2"/>
      <c r="O28" s="2"/>
      <c r="P28" s="2"/>
      <c r="Q28" s="2"/>
      <c r="R28" s="2"/>
    </row>
    <row r="29" spans="2:18" ht="19.2" thickTop="1" thickBot="1" x14ac:dyDescent="0.3">
      <c r="B29" s="51"/>
      <c r="C29" s="31" t="s">
        <v>19</v>
      </c>
      <c r="D29" s="28"/>
      <c r="E29" s="2"/>
      <c r="F29" s="2"/>
      <c r="G29" s="2"/>
      <c r="H29" s="2"/>
      <c r="I29" s="2"/>
      <c r="J29" s="2"/>
      <c r="K29" s="2"/>
      <c r="L29" s="2"/>
      <c r="M29" s="2"/>
      <c r="N29" s="2"/>
      <c r="O29" s="2"/>
      <c r="P29" s="2"/>
      <c r="Q29" s="2"/>
      <c r="R29" s="2"/>
    </row>
    <row r="30" spans="2:18" ht="19.2" thickTop="1" thickBot="1" x14ac:dyDescent="0.5"/>
    <row r="31" spans="2:18" ht="27.6" thickTop="1" thickBot="1" x14ac:dyDescent="0.3">
      <c r="B31" s="52" t="s">
        <v>3</v>
      </c>
      <c r="C31" s="31" t="s">
        <v>28</v>
      </c>
      <c r="D31" s="34" t="s">
        <v>75</v>
      </c>
      <c r="E31" s="27" t="s">
        <v>74</v>
      </c>
      <c r="F31" s="6" t="s">
        <v>76</v>
      </c>
      <c r="G31" s="6"/>
      <c r="H31" s="6"/>
      <c r="I31" s="6"/>
      <c r="J31" s="6"/>
      <c r="K31" s="6"/>
      <c r="L31" s="6"/>
      <c r="M31" s="6"/>
      <c r="N31" s="6"/>
      <c r="O31" s="6"/>
      <c r="P31" s="6"/>
      <c r="Q31" s="6"/>
      <c r="R31" s="6"/>
    </row>
    <row r="32" spans="2:18" ht="19.2" thickTop="1" thickBot="1" x14ac:dyDescent="0.3">
      <c r="B32" s="52"/>
      <c r="C32" s="31" t="s">
        <v>20</v>
      </c>
      <c r="D32" s="28"/>
      <c r="E32" s="2"/>
      <c r="F32" s="2"/>
      <c r="G32" s="2"/>
      <c r="H32" s="2"/>
      <c r="I32" s="2"/>
      <c r="J32" s="2"/>
      <c r="K32" s="2"/>
      <c r="L32" s="2"/>
      <c r="M32" s="2"/>
      <c r="N32" s="2"/>
      <c r="O32" s="2"/>
      <c r="P32" s="2"/>
      <c r="Q32" s="2"/>
      <c r="R32" s="2"/>
    </row>
    <row r="33" spans="2:18" ht="19.2" thickTop="1" thickBot="1" x14ac:dyDescent="0.3">
      <c r="B33" s="52"/>
      <c r="C33" s="31" t="s">
        <v>21</v>
      </c>
      <c r="D33" s="28"/>
      <c r="E33" s="2"/>
      <c r="F33" s="2"/>
      <c r="G33" s="2"/>
      <c r="H33" s="2"/>
      <c r="I33" s="2"/>
      <c r="J33" s="2"/>
      <c r="K33" s="2"/>
      <c r="L33" s="2"/>
      <c r="M33" s="2"/>
      <c r="N33" s="2"/>
      <c r="O33" s="2"/>
      <c r="P33" s="2"/>
      <c r="Q33" s="2"/>
      <c r="R33" s="2"/>
    </row>
    <row r="34" spans="2:18" ht="19.2" thickTop="1" thickBot="1" x14ac:dyDescent="0.3">
      <c r="B34" s="52"/>
      <c r="C34" s="31" t="s">
        <v>22</v>
      </c>
      <c r="D34" s="29"/>
      <c r="E34" s="4"/>
      <c r="F34" s="4"/>
      <c r="G34" s="4"/>
      <c r="H34" s="4"/>
      <c r="I34" s="4"/>
      <c r="J34" s="4"/>
      <c r="K34" s="4"/>
      <c r="L34" s="4"/>
      <c r="M34" s="4"/>
      <c r="N34" s="4"/>
      <c r="O34" s="4"/>
      <c r="P34" s="4"/>
      <c r="Q34" s="4"/>
      <c r="R34" s="4"/>
    </row>
    <row r="35" spans="2:18" ht="18.600000000000001" thickTop="1" x14ac:dyDescent="0.45"/>
  </sheetData>
  <mergeCells count="4">
    <mergeCell ref="B9:B14"/>
    <mergeCell ref="B16:B22"/>
    <mergeCell ref="B24:B29"/>
    <mergeCell ref="B31:B34"/>
  </mergeCells>
  <phoneticPr fontId="1"/>
  <hyperlinks>
    <hyperlink ref="D6" r:id="rId1" xr:uid="{C7F624CE-A351-47C2-8CB5-BE329A3953ED}"/>
    <hyperlink ref="D7" r:id="rId2" xr:uid="{26C3CAB0-33B1-46A7-9CC1-EA2283AF7108}"/>
    <hyperlink ref="E6" r:id="rId3" xr:uid="{08840FBF-3E8E-44AB-AB97-EFEA37E7E927}"/>
    <hyperlink ref="E7" r:id="rId4" xr:uid="{EA174653-ADD4-41E5-9C67-E86095303CEB}"/>
    <hyperlink ref="F6" r:id="rId5" xr:uid="{7F1FA79C-7E31-4DF5-8E07-4E90D2BC0085}"/>
    <hyperlink ref="F7" r:id="rId6" xr:uid="{0DE430EB-E012-4232-89A5-AFB719DA9B30}"/>
  </hyperlinks>
  <pageMargins left="0.7" right="0.7" top="0.75" bottom="0.75" header="0.3" footer="0.3"/>
  <drawing r:id="rId7"/>
  <legacyDrawing r:id="rId8"/>
  <mc:AlternateContent xmlns:mc="http://schemas.openxmlformats.org/markup-compatibility/2006">
    <mc:Choice Requires="x14">
      <controls>
        <mc:AlternateContent xmlns:mc="http://schemas.openxmlformats.org/markup-compatibility/2006">
          <mc:Choice Requires="x14">
            <control shapeId="1025" r:id="rId9" name="Button 1">
              <controlPr defaultSize="0" print="0" autoFill="0" autoPict="0" macro="[0]!Sheet2.eigyousiryou">
                <anchor moveWithCells="1" sizeWithCells="1">
                  <from>
                    <xdr:col>3</xdr:col>
                    <xdr:colOff>266700</xdr:colOff>
                    <xdr:row>0</xdr:row>
                    <xdr:rowOff>53340</xdr:rowOff>
                  </from>
                  <to>
                    <xdr:col>3</xdr:col>
                    <xdr:colOff>1630680</xdr:colOff>
                    <xdr:row>0</xdr:row>
                    <xdr:rowOff>655320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64A96-179F-40F8-802F-811E0E602020}">
  <sheetPr codeName="Sheet1"/>
  <dimension ref="B2:F20"/>
  <sheetViews>
    <sheetView zoomScaleNormal="100" workbookViewId="0">
      <selection activeCell="C24" sqref="C24"/>
    </sheetView>
  </sheetViews>
  <sheetFormatPr defaultRowHeight="18" x14ac:dyDescent="0.45"/>
  <cols>
    <col min="1" max="16384" width="8.796875" style="43"/>
  </cols>
  <sheetData>
    <row r="2" spans="2:6" s="45" customFormat="1" x14ac:dyDescent="0.45">
      <c r="B2" s="44" t="s">
        <v>86</v>
      </c>
      <c r="C2" s="44"/>
      <c r="D2" s="44"/>
      <c r="E2" s="44"/>
      <c r="F2" s="44"/>
    </row>
    <row r="3" spans="2:6" x14ac:dyDescent="0.45">
      <c r="C3" s="43" t="s">
        <v>85</v>
      </c>
    </row>
    <row r="4" spans="2:6" x14ac:dyDescent="0.45">
      <c r="C4" s="43" t="s">
        <v>4</v>
      </c>
    </row>
    <row r="5" spans="2:6" x14ac:dyDescent="0.45">
      <c r="C5" s="43" t="s">
        <v>27</v>
      </c>
    </row>
    <row r="6" spans="2:6" x14ac:dyDescent="0.45">
      <c r="C6" s="43" t="s">
        <v>51</v>
      </c>
    </row>
    <row r="7" spans="2:6" s="45" customFormat="1" x14ac:dyDescent="0.45">
      <c r="B7" s="46" t="s">
        <v>95</v>
      </c>
      <c r="C7" s="46"/>
      <c r="D7" s="46"/>
      <c r="E7" s="46"/>
      <c r="F7" s="46"/>
    </row>
    <row r="8" spans="2:6" x14ac:dyDescent="0.45">
      <c r="C8" s="43" t="s">
        <v>87</v>
      </c>
    </row>
    <row r="9" spans="2:6" x14ac:dyDescent="0.45">
      <c r="C9" s="43" t="s">
        <v>88</v>
      </c>
    </row>
    <row r="10" spans="2:6" x14ac:dyDescent="0.45">
      <c r="B10" s="47" t="s">
        <v>89</v>
      </c>
      <c r="C10" s="48"/>
      <c r="D10" s="48"/>
      <c r="E10" s="48"/>
      <c r="F10" s="48"/>
    </row>
    <row r="11" spans="2:6" x14ac:dyDescent="0.45">
      <c r="B11" s="43" t="s">
        <v>90</v>
      </c>
    </row>
    <row r="13" spans="2:6" x14ac:dyDescent="0.45">
      <c r="B13" s="45" t="s">
        <v>92</v>
      </c>
    </row>
    <row r="15" spans="2:6" x14ac:dyDescent="0.45">
      <c r="B15" s="45" t="s">
        <v>93</v>
      </c>
    </row>
    <row r="16" spans="2:6" x14ac:dyDescent="0.45">
      <c r="B16" s="43" t="s">
        <v>94</v>
      </c>
    </row>
    <row r="18" spans="2:2" x14ac:dyDescent="0.45">
      <c r="B18" s="45" t="s">
        <v>96</v>
      </c>
    </row>
    <row r="20" spans="2:2" x14ac:dyDescent="0.45">
      <c r="B20" s="45" t="s">
        <v>97</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29E82-2F60-4D30-86D1-D49F2F428006}">
  <sheetPr codeName="Sheet3"/>
  <dimension ref="A1:E26"/>
  <sheetViews>
    <sheetView workbookViewId="0">
      <selection activeCell="E17" sqref="E17"/>
    </sheetView>
  </sheetViews>
  <sheetFormatPr defaultRowHeight="18" x14ac:dyDescent="0.45"/>
  <cols>
    <col min="2" max="2" width="25.59765625" bestFit="1" customWidth="1"/>
    <col min="3" max="3" width="4.69921875" customWidth="1"/>
    <col min="5" max="5" width="20.5" bestFit="1" customWidth="1"/>
  </cols>
  <sheetData>
    <row r="1" spans="1:5" ht="18.600000000000001" thickBot="1" x14ac:dyDescent="0.5">
      <c r="A1" t="s">
        <v>46</v>
      </c>
      <c r="D1" t="s">
        <v>65</v>
      </c>
    </row>
    <row r="2" spans="1:5" ht="18.600000000000001" thickBot="1" x14ac:dyDescent="0.3">
      <c r="A2" s="8">
        <v>1</v>
      </c>
      <c r="B2" s="9" t="s">
        <v>29</v>
      </c>
      <c r="D2" s="10" t="s">
        <v>53</v>
      </c>
      <c r="E2" s="20" t="s">
        <v>54</v>
      </c>
    </row>
    <row r="3" spans="1:5" ht="18.600000000000001" thickBot="1" x14ac:dyDescent="0.3">
      <c r="A3" s="10">
        <v>2</v>
      </c>
      <c r="B3" s="11" t="s">
        <v>30</v>
      </c>
      <c r="D3" s="10" t="s">
        <v>55</v>
      </c>
      <c r="E3" s="1"/>
    </row>
    <row r="4" spans="1:5" ht="18.600000000000001" thickBot="1" x14ac:dyDescent="0.3">
      <c r="A4" s="10">
        <v>4</v>
      </c>
      <c r="B4" s="11" t="s">
        <v>31</v>
      </c>
      <c r="D4" s="10" t="s">
        <v>56</v>
      </c>
      <c r="E4" s="11" t="s">
        <v>57</v>
      </c>
    </row>
    <row r="5" spans="1:5" ht="18.600000000000001" thickBot="1" x14ac:dyDescent="0.3">
      <c r="A5" s="10">
        <v>5</v>
      </c>
      <c r="B5" s="11" t="s">
        <v>32</v>
      </c>
      <c r="D5" s="10" t="s">
        <v>58</v>
      </c>
      <c r="E5" s="11" t="s">
        <v>59</v>
      </c>
    </row>
    <row r="6" spans="1:5" ht="18.600000000000001" thickBot="1" x14ac:dyDescent="0.3">
      <c r="A6" s="10">
        <v>6</v>
      </c>
      <c r="B6" s="11" t="s">
        <v>33</v>
      </c>
      <c r="D6" s="10" t="s">
        <v>60</v>
      </c>
      <c r="E6" s="11" t="s">
        <v>61</v>
      </c>
    </row>
    <row r="7" spans="1:5" ht="18.600000000000001" thickBot="1" x14ac:dyDescent="0.3">
      <c r="A7" s="10">
        <v>7</v>
      </c>
      <c r="B7" s="11" t="s">
        <v>34</v>
      </c>
      <c r="D7" s="10" t="s">
        <v>62</v>
      </c>
      <c r="E7" s="11" t="s">
        <v>63</v>
      </c>
    </row>
    <row r="8" spans="1:5" ht="18.600000000000001" thickBot="1" x14ac:dyDescent="0.3">
      <c r="A8" s="10">
        <v>8</v>
      </c>
      <c r="B8" s="11" t="s">
        <v>35</v>
      </c>
      <c r="D8" s="10" t="s">
        <v>52</v>
      </c>
      <c r="E8" s="11" t="s">
        <v>64</v>
      </c>
    </row>
    <row r="9" spans="1:5" ht="18.600000000000001" thickBot="1" x14ac:dyDescent="0.3">
      <c r="A9" s="10">
        <v>9</v>
      </c>
      <c r="B9" s="11" t="s">
        <v>36</v>
      </c>
    </row>
    <row r="10" spans="1:5" ht="18.600000000000001" thickBot="1" x14ac:dyDescent="0.3">
      <c r="A10" s="10">
        <v>12</v>
      </c>
      <c r="B10" s="11" t="s">
        <v>37</v>
      </c>
    </row>
    <row r="11" spans="1:5" ht="18.600000000000001" thickBot="1" x14ac:dyDescent="0.3">
      <c r="A11" s="10">
        <v>13</v>
      </c>
      <c r="B11" s="11" t="s">
        <v>38</v>
      </c>
    </row>
    <row r="12" spans="1:5" ht="18.600000000000001" thickBot="1" x14ac:dyDescent="0.3">
      <c r="A12" s="10">
        <v>14</v>
      </c>
      <c r="B12" s="11" t="s">
        <v>39</v>
      </c>
    </row>
    <row r="13" spans="1:5" ht="18.600000000000001" thickBot="1" x14ac:dyDescent="0.3">
      <c r="A13" s="10">
        <v>15</v>
      </c>
      <c r="B13" s="11" t="s">
        <v>40</v>
      </c>
    </row>
    <row r="14" spans="1:5" ht="18.600000000000001" thickBot="1" x14ac:dyDescent="0.3">
      <c r="A14" s="10">
        <v>16</v>
      </c>
      <c r="B14" s="11" t="s">
        <v>41</v>
      </c>
    </row>
    <row r="15" spans="1:5" ht="18.600000000000001" thickBot="1" x14ac:dyDescent="0.3">
      <c r="A15" s="10">
        <v>21</v>
      </c>
      <c r="B15" s="11" t="s">
        <v>42</v>
      </c>
    </row>
    <row r="16" spans="1:5" ht="28.2" thickBot="1" x14ac:dyDescent="0.3">
      <c r="A16" s="12">
        <v>23</v>
      </c>
      <c r="B16" s="13" t="s">
        <v>43</v>
      </c>
    </row>
    <row r="17" spans="1:2" ht="28.2" thickBot="1" x14ac:dyDescent="0.3">
      <c r="A17" s="10">
        <v>24</v>
      </c>
      <c r="B17" s="11" t="s">
        <v>44</v>
      </c>
    </row>
    <row r="18" spans="1:2" ht="18.600000000000001" thickBot="1" x14ac:dyDescent="0.3">
      <c r="A18" s="10">
        <v>29</v>
      </c>
      <c r="B18" s="11" t="s">
        <v>45</v>
      </c>
    </row>
    <row r="19" spans="1:2" ht="18.600000000000001" thickBot="1" x14ac:dyDescent="0.3">
      <c r="A19" s="14">
        <v>38</v>
      </c>
      <c r="B19" s="15" t="s">
        <v>47</v>
      </c>
    </row>
    <row r="20" spans="1:2" ht="18.600000000000001" thickBot="1" x14ac:dyDescent="0.3">
      <c r="A20" s="16">
        <v>39</v>
      </c>
      <c r="B20" s="1"/>
    </row>
    <row r="21" spans="1:2" ht="18.600000000000001" thickBot="1" x14ac:dyDescent="0.3">
      <c r="A21" s="16">
        <v>40</v>
      </c>
      <c r="B21" s="17" t="s">
        <v>48</v>
      </c>
    </row>
    <row r="22" spans="1:2" ht="18.600000000000001" thickBot="1" x14ac:dyDescent="0.3">
      <c r="A22" s="16">
        <v>41</v>
      </c>
      <c r="B22" s="1"/>
    </row>
    <row r="23" spans="1:2" ht="28.2" thickBot="1" x14ac:dyDescent="0.3">
      <c r="A23" s="16">
        <v>42</v>
      </c>
      <c r="B23" s="18" t="s">
        <v>49</v>
      </c>
    </row>
    <row r="24" spans="1:2" ht="18.600000000000001" thickBot="1" x14ac:dyDescent="0.3">
      <c r="A24" s="16">
        <v>43</v>
      </c>
      <c r="B24" s="1"/>
    </row>
    <row r="25" spans="1:2" ht="28.2" thickBot="1" x14ac:dyDescent="0.3">
      <c r="A25" s="16">
        <v>44</v>
      </c>
      <c r="B25" s="18" t="s">
        <v>50</v>
      </c>
    </row>
    <row r="26" spans="1:2" ht="18.600000000000001" thickBot="1" x14ac:dyDescent="0.3">
      <c r="A26" s="16">
        <v>45</v>
      </c>
      <c r="B26" s="1"/>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マスタ</vt:lpstr>
      <vt:lpstr>使い方</vt:lpstr>
      <vt:lpstr>プラン変換用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柳田 恵</dc:creator>
  <cp:lastModifiedBy>柳田 恵</cp:lastModifiedBy>
  <dcterms:created xsi:type="dcterms:W3CDTF">2024-12-03T10:14:09Z</dcterms:created>
  <dcterms:modified xsi:type="dcterms:W3CDTF">2024-12-25T11:52:55Z</dcterms:modified>
</cp:coreProperties>
</file>